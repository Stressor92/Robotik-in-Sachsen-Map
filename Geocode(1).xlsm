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lle\Downloads\"/>
    </mc:Choice>
  </mc:AlternateContent>
  <xr:revisionPtr revIDLastSave="0" documentId="13_ncr:1_{DA381742-57E0-4119-9815-1577827DB69C}" xr6:coauthVersionLast="46" xr6:coauthVersionMax="46" xr10:uidLastSave="{00000000-0000-0000-0000-000000000000}"/>
  <bookViews>
    <workbookView minimized="1" xWindow="345" yWindow="2775" windowWidth="21600" windowHeight="11385" activeTab="1" xr2:uid="{00000000-000D-0000-FFFF-FFFF00000000}"/>
  </bookViews>
  <sheets>
    <sheet name="Sheet1" sheetId="1" r:id="rId1"/>
    <sheet name="Tabelle1" sheetId="2" r:id="rId2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4" i="2" l="1"/>
  <c r="B112" i="2"/>
  <c r="B100" i="2"/>
  <c r="B88" i="2"/>
  <c r="B76" i="2"/>
  <c r="B64" i="2"/>
  <c r="B52" i="2"/>
  <c r="B41" i="2"/>
  <c r="B29" i="2"/>
  <c r="B17" i="2"/>
  <c r="B5" i="2"/>
  <c r="B111" i="2"/>
  <c r="B99" i="2"/>
  <c r="B87" i="2"/>
  <c r="B75" i="2"/>
  <c r="B63" i="2"/>
  <c r="B51" i="2"/>
  <c r="B40" i="2"/>
  <c r="B28" i="2"/>
  <c r="B16" i="2"/>
  <c r="B4" i="2"/>
  <c r="B39" i="2"/>
  <c r="B27" i="2"/>
  <c r="B15" i="2"/>
  <c r="B3" i="2"/>
  <c r="B123" i="2"/>
  <c r="B122" i="2"/>
  <c r="B110" i="2"/>
  <c r="B98" i="2"/>
  <c r="B86" i="2"/>
  <c r="B74" i="2"/>
  <c r="B62" i="2"/>
  <c r="B121" i="2"/>
  <c r="B109" i="2"/>
  <c r="B97" i="2"/>
  <c r="B85" i="2"/>
  <c r="B73" i="2"/>
  <c r="B61" i="2"/>
  <c r="B50" i="2"/>
  <c r="B38" i="2"/>
  <c r="B26" i="2"/>
  <c r="B14" i="2"/>
  <c r="B28" i="1"/>
  <c r="B29" i="1"/>
  <c r="B120" i="2"/>
  <c r="B108" i="2"/>
  <c r="B96" i="2"/>
  <c r="B84" i="2"/>
  <c r="B72" i="2"/>
  <c r="B60" i="2"/>
  <c r="B49" i="2"/>
  <c r="B37" i="2"/>
  <c r="B25" i="2"/>
  <c r="B13" i="2"/>
  <c r="B27" i="1"/>
  <c r="B14" i="1"/>
  <c r="B45" i="2"/>
  <c r="B119" i="2"/>
  <c r="B107" i="2"/>
  <c r="B91" i="2"/>
  <c r="B83" i="2"/>
  <c r="B71" i="2"/>
  <c r="B59" i="2"/>
  <c r="B48" i="2"/>
  <c r="B36" i="2"/>
  <c r="B24" i="2"/>
  <c r="B12" i="2"/>
  <c r="B2" i="2"/>
  <c r="A32" i="1"/>
  <c r="B95" i="2"/>
  <c r="B81" i="2"/>
  <c r="B57" i="2"/>
  <c r="B46" i="2"/>
  <c r="B34" i="2"/>
  <c r="B22" i="2"/>
  <c r="B13" i="1"/>
  <c r="B94" i="2"/>
  <c r="B56" i="2"/>
  <c r="B21" i="2"/>
  <c r="B118" i="2"/>
  <c r="B106" i="2"/>
  <c r="B92" i="2"/>
  <c r="B82" i="2"/>
  <c r="B70" i="2"/>
  <c r="B58" i="2"/>
  <c r="B47" i="2"/>
  <c r="B35" i="2"/>
  <c r="B23" i="2"/>
  <c r="B11" i="2"/>
  <c r="A17" i="1"/>
  <c r="B105" i="2"/>
  <c r="B69" i="2"/>
  <c r="B10" i="2"/>
  <c r="B104" i="2"/>
  <c r="B80" i="2"/>
  <c r="B68" i="2"/>
  <c r="B33" i="2"/>
  <c r="B9" i="2"/>
  <c r="B117" i="2"/>
  <c r="B116" i="2"/>
  <c r="B115" i="2"/>
  <c r="B103" i="2"/>
  <c r="B93" i="2"/>
  <c r="B79" i="2"/>
  <c r="B67" i="2"/>
  <c r="B55" i="2"/>
  <c r="B44" i="2"/>
  <c r="B32" i="2"/>
  <c r="B20" i="2"/>
  <c r="B8" i="2"/>
  <c r="B114" i="2"/>
  <c r="B102" i="2"/>
  <c r="B90" i="2"/>
  <c r="B78" i="2"/>
  <c r="B66" i="2"/>
  <c r="B54" i="2"/>
  <c r="B43" i="2"/>
  <c r="B31" i="2"/>
  <c r="B19" i="2"/>
  <c r="B7" i="2"/>
  <c r="B113" i="2"/>
  <c r="B101" i="2"/>
  <c r="B89" i="2"/>
  <c r="B77" i="2"/>
  <c r="B65" i="2"/>
  <c r="B53" i="2"/>
  <c r="B42" i="2"/>
  <c r="B30" i="2"/>
  <c r="B18" i="2"/>
  <c r="B6" i="2"/>
</calcChain>
</file>

<file path=xl/sharedStrings.xml><?xml version="1.0" encoding="utf-8"?>
<sst xmlns="http://schemas.openxmlformats.org/spreadsheetml/2006/main" count="157" uniqueCount="138">
  <si>
    <t>Washington DC</t>
  </si>
  <si>
    <t>10 Downing Street</t>
  </si>
  <si>
    <t>Latitude</t>
  </si>
  <si>
    <t>Longitude</t>
  </si>
  <si>
    <t>Geocode in Excel</t>
  </si>
  <si>
    <t>Converts a string address (e.g. "10 Downing Street" or "Tokyo, Japan") into a "latitude,longitude" string</t>
  </si>
  <si>
    <t>=GoogleGeocode(address, api_key)</t>
  </si>
  <si>
    <t>=GoogleReverseGeocode(lat, lng, api_key)</t>
  </si>
  <si>
    <t>Converts a latitude and longitude into an address</t>
  </si>
  <si>
    <t>This Excel sheet has custom geocoding functions</t>
  </si>
  <si>
    <t>https://developers.google.com/maps/documentation/geocoding/get-api-key</t>
  </si>
  <si>
    <t>Google Geocoding functions</t>
  </si>
  <si>
    <t>The Google Geocoding API is comprehensive, but requires an API key. See:</t>
  </si>
  <si>
    <t>Nominatim Geocoding functions</t>
  </si>
  <si>
    <t>The Nominatim API uses OpenStreetMap, which is not as comprehensive as Google's but is free.</t>
  </si>
  <si>
    <t>https://nominatim.org/release-docs/develop/</t>
  </si>
  <si>
    <t>=NominatimReverseGeocode(lat, lng)</t>
  </si>
  <si>
    <t>=NominatimGeocode(address)</t>
  </si>
  <si>
    <t>Latitude, Longitude</t>
  </si>
  <si>
    <t>Geocode example</t>
  </si>
  <si>
    <t>Reverse geocode example</t>
  </si>
  <si>
    <t>Bernauer Straße</t>
  </si>
  <si>
    <t>Replace with a valid API key to avoid the "REQUEST_DENIED" response</t>
  </si>
  <si>
    <t>Technologie-Campus 8 09126 Chemnitz</t>
  </si>
  <si>
    <t>Freiberger Str. 37 01067 Dresden</t>
  </si>
  <si>
    <t>Edisonstraße 12 04435 Schkeuditz</t>
  </si>
  <si>
    <t>Am Weiher 3 01468 Moritzburg</t>
  </si>
  <si>
    <t>Cottaer Str. 4 01159 Dresden</t>
  </si>
  <si>
    <t>Lessingstraße 2 04109 Leipzig</t>
  </si>
  <si>
    <t>Uttmannstraße 15 01591 Riesa</t>
  </si>
  <si>
    <t>Gewerbestraße 20 08141 Reinsdorf</t>
  </si>
  <si>
    <t>Dresdener Str. 174 09326 Geringswalde</t>
  </si>
  <si>
    <t>Gewerbegebiet Eula West 11 04552 Borna</t>
  </si>
  <si>
    <t>Am Bahnhof 7 09599 Freiberg</t>
  </si>
  <si>
    <t>Lichterfelder Allee 98 14513 Teltow</t>
  </si>
  <si>
    <t>Am Stahlwerk 5 01609 Gröditz</t>
  </si>
  <si>
    <t>Brunnenstraße 3 02736 Oppach</t>
  </si>
  <si>
    <t>August-Horch-Straße 44 08141 Reinsdorf</t>
  </si>
  <si>
    <t>Manfred-von-Ardenne-Ring 6 01099 Dresden</t>
  </si>
  <si>
    <t>Heilbronner Str. 17 01189 Dresden</t>
  </si>
  <si>
    <t>Konrad-Zuse-Straße 19 02977 Hoyerswerda</t>
  </si>
  <si>
    <t>Würzburger Str. 46 01187 Dresden</t>
  </si>
  <si>
    <t>Annaberger Str. 240 09125 Chemnitz</t>
  </si>
  <si>
    <t>Agricolastraße 24 09599 Freiberg</t>
  </si>
  <si>
    <t>An den Ellerwiesen 11 01109 Dresden</t>
  </si>
  <si>
    <t>Christophstraße 20-22 09212 Limbach-Oberfrohna</t>
  </si>
  <si>
    <t>Helmholtzstraße 18  01069 Dresden</t>
  </si>
  <si>
    <t>Wiener Platz 4 01069 Dresden</t>
  </si>
  <si>
    <t>Brühl 64-66 04109 Leipzig</t>
  </si>
  <si>
    <t>Zwickauer Str. 30 09366 Stollberg</t>
  </si>
  <si>
    <t>Baluschekstr. 9 01159 Dresden</t>
  </si>
  <si>
    <t>Kühnhaider Str. 8 08294 Lößnitz</t>
  </si>
  <si>
    <t>Dresdner Str. 172 01705 Freital</t>
  </si>
  <si>
    <t>Fetscherstr. 74 01307 Dresden</t>
  </si>
  <si>
    <t>Manfred-von-Ardenne-Ring 20 01099 Dresden</t>
  </si>
  <si>
    <t>An der Ziegelei 6  01454 Radeberg</t>
  </si>
  <si>
    <t>Einsiedler Str. 23 09235 Burkhardtsdorf</t>
  </si>
  <si>
    <t>Zur Steinhöhe 4 01109 Dresden</t>
  </si>
  <si>
    <t>Bosewitzer Str. 20 01259 Dresden</t>
  </si>
  <si>
    <t>Dresdener Str. 76C 01877 Schmölln-Putzkau</t>
  </si>
  <si>
    <t>Kleinolbersdorfer Str. 5a 09573 Augustusburg</t>
  </si>
  <si>
    <t>Weißbacher Straße 3 09439 Amtsberg</t>
  </si>
  <si>
    <t>Heidelberger Str. 20 01189 Dresden</t>
  </si>
  <si>
    <t>Reichenhainer Straße 88 09126 Chemnitz</t>
  </si>
  <si>
    <t>Gmundener Weg 19 04349 Leipzig</t>
  </si>
  <si>
    <t>Tuchschererstraße 4a 09116 Chemnitz</t>
  </si>
  <si>
    <t>Oberfrohnaer Str. 94 09117 Chemnitz</t>
  </si>
  <si>
    <t>Weißenfelser Str. 67 04229 Leipzig</t>
  </si>
  <si>
    <t>Homagstraße 1 09638 Lichtenberg/Erzgebirge</t>
  </si>
  <si>
    <t>Technikumplatz 17  09648 Mittweida</t>
  </si>
  <si>
    <t>Friedrich-List-Platz 1 01069 Dresden</t>
  </si>
  <si>
    <t>Karl-Liebknecht-Straße 132 04277 Leipzig</t>
  </si>
  <si>
    <t>Saarstraße 19 08056 Zwickau</t>
  </si>
  <si>
    <t>Industriegelände Str. E, Nr.8 02977 Hoyerswerda</t>
  </si>
  <si>
    <t>Kauffahrtei 25 09120 Chemnitz</t>
  </si>
  <si>
    <t>Otto-Schmerbach-Straße 19 09117 Chemnitz</t>
  </si>
  <si>
    <t>Hamburger Str. 65 01157 Dresden</t>
  </si>
  <si>
    <t>Am Bauhof 6 01458 Ottendorf-Okrilla</t>
  </si>
  <si>
    <t>An der Walze 11 01640 Coswig</t>
  </si>
  <si>
    <t>Königsbrücker Straße 180 01099 Dresden</t>
  </si>
  <si>
    <t>Biedermannstraße 9 04277 Leipzig</t>
  </si>
  <si>
    <t>Am Promigberg 8 01108 Dresden</t>
  </si>
  <si>
    <t>Carl-von-Bach-Straße 5 09116 Chemnitz</t>
  </si>
  <si>
    <t>Bergener Ring 33 01458 Ottendorf-Okrilla</t>
  </si>
  <si>
    <t>Mertitzer Straße 37 01623 Lommatzsch</t>
  </si>
  <si>
    <t>Gewerbering 10 08468 Heinsdorfergrund</t>
  </si>
  <si>
    <t>Dechwitzer Str. 16 04463 Großpösna</t>
  </si>
  <si>
    <t>Otto-Mohr-Straße 6 01237 Dresden</t>
  </si>
  <si>
    <t>Kurze Str. 3 08543 Pöhl</t>
  </si>
  <si>
    <t>Gewerbeallee 15 04821 Brandis</t>
  </si>
  <si>
    <t>Äußerer Hofring 11 09429 Wolkenstein</t>
  </si>
  <si>
    <t>Tuchschererstraße 6 09116 Chemnitz</t>
  </si>
  <si>
    <t>Hauptstraße 63 09212 Limbach-Oberfrohna</t>
  </si>
  <si>
    <t>Niedersedlitzer Str. 37 01239 Dresden</t>
  </si>
  <si>
    <t>Meißner Str. 32 01156 Dresden</t>
  </si>
  <si>
    <t>Spielsdorf 4 09337 Callenberg</t>
  </si>
  <si>
    <t>Straße der Nationen 62 09111 Chemnitz</t>
  </si>
  <si>
    <t>Wiener Str. 80B 01219 Dresden</t>
  </si>
  <si>
    <t>Neefestraße 80A 09119 Chemnitz</t>
  </si>
  <si>
    <t>Hermann-Reichelt-Straße 3 01109 Dresden</t>
  </si>
  <si>
    <t>F.-O.-Schimmel-Straße 23 09120 Chemnitz</t>
  </si>
  <si>
    <t>Blauenthaler Straße 3 08309 Eibenstock</t>
  </si>
  <si>
    <t>Kesselhausring 4 02699 Königswartha</t>
  </si>
  <si>
    <t>Richterstraße 1 08344 Grünhain-Beierfeld</t>
  </si>
  <si>
    <t>Schulstraße 21 02692 Obergurig</t>
  </si>
  <si>
    <t>Stuttgarter Str. 29 01189 Dresden</t>
  </si>
  <si>
    <t>Hirschfelder Ring 9a 02763 Zittau</t>
  </si>
  <si>
    <t>Dresdner Straße 78 01744 Dippoldiswalde</t>
  </si>
  <si>
    <t>Lippoldsruh 40 08132 Mülsen</t>
  </si>
  <si>
    <t>Schützenstraße 4 04103 Leipzig</t>
  </si>
  <si>
    <t>Bornaer Str. 192 09114 Chemnitz</t>
  </si>
  <si>
    <t>Postplatz 1 01067 Dresden</t>
  </si>
  <si>
    <t>Spenglerallee 18 04442 Zwenkau</t>
  </si>
  <si>
    <t>Am Jahnsbacher Berg 5 09392 Auerbach</t>
  </si>
  <si>
    <t>Obercunnersdorfer Str. 5 02739 Kottmar</t>
  </si>
  <si>
    <t>Carl-von-Bach-Straße 4 09116 Chemnitz</t>
  </si>
  <si>
    <t>Am Windrad 2 08468 Heinsdorfergrund</t>
  </si>
  <si>
    <t>Am Gewerbepark 1 02763 Mittelherwigsdorf</t>
  </si>
  <si>
    <t>Technologie-Campus 1 09126 Chemnitz</t>
  </si>
  <si>
    <t>Gostritzer Str. 61 01217 Dresden</t>
  </si>
  <si>
    <t>Nordstraße 46 09113 Chemnitz</t>
  </si>
  <si>
    <t>Dresdner Straße 20 09337 Bernsdorf</t>
  </si>
  <si>
    <t>Prüferstraße 9 09599 Freiberg</t>
  </si>
  <si>
    <t>Akademiestraße 6 09599 Freiberg</t>
  </si>
  <si>
    <t>Bergstraße 120 01069 Dresden</t>
  </si>
  <si>
    <t>Zwickauer Str. 46 01069 Dresden</t>
  </si>
  <si>
    <t>Georg-Schumann-Str. 11 01187 Dresden</t>
  </si>
  <si>
    <t>Helmholtzstr. 18 01069 Dresden</t>
  </si>
  <si>
    <t>Inselstrasse 22 04109 Leipzig</t>
  </si>
  <si>
    <t>Am Waldschlößchen 4 01099 Dresden</t>
  </si>
  <si>
    <t>Lennéstraße 1 01069 Dresden</t>
  </si>
  <si>
    <t>Bastianstraße 6 13357 Berlin</t>
  </si>
  <si>
    <t>Tiergartenstraße 38 01219 Dresden</t>
  </si>
  <si>
    <t>Am Windrad 4 08468 Heinsdorfergrund</t>
  </si>
  <si>
    <t>Pforzheimer Str. 16 01189 Dresden</t>
  </si>
  <si>
    <t>Theodor-Körner-Allee 8 02763 Zittau</t>
  </si>
  <si>
    <t>Kopernikusstraße 58 08056 Zwickau</t>
  </si>
  <si>
    <t>Gewerbegebiet Am Richterweg 14 09518 Großrückerswalde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</si>
</sst>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8"/>
      <color theme="3"/>
      <name val="Cambria"/>
      <family val="1"/>
      <scheme val="maj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6" fillId="0" borderId="0" xfId="1" applyFont="1"/>
    <xf numFmtId="0" fontId="1" fillId="0" borderId="0" xfId="0" quotePrefix="1" applyFont="1"/>
    <xf numFmtId="0" fontId="0" fillId="0" borderId="0" xfId="0" applyFont="1"/>
    <xf numFmtId="0" fontId="7" fillId="0" borderId="0" xfId="3"/>
    <xf numFmtId="0" fontId="5" fillId="0" borderId="1" xfId="2"/>
    <xf numFmtId="0" fontId="0" fillId="0" borderId="0" xfId="0" quotePrefix="1" applyFont="1"/>
    <xf numFmtId="0" fontId="7" fillId="0" borderId="0" xfId="3" quotePrefix="1"/>
  </cellXfs>
  <cellStyles count="4">
    <cellStyle name="Link" xfId="3" builtinId="8"/>
    <cellStyle name="Standard" xfId="0" builtinId="0"/>
    <cellStyle name="Überschrift" xfId="1" builtinId="15"/>
    <cellStyle name="Überschrift 1" xfId="2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ominatim.org/release-docs/develop/" TargetMode="External"/><Relationship Id="rId1" Type="http://schemas.openxmlformats.org/officeDocument/2006/relationships/hyperlink" Target="https://developers.google.com/maps/documentation/geocoding/get-api-k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2"/>
  <sheetViews>
    <sheetView topLeftCell="A4" workbookViewId="0">
      <selection activeCell="B29" sqref="B29"/>
    </sheetView>
  </sheetViews>
  <sheetFormatPr baseColWidth="10" defaultColWidth="9.140625" defaultRowHeight="15" x14ac:dyDescent="0.25"/>
  <cols>
    <col min="1" max="1" width="40.28515625" customWidth="1"/>
  </cols>
  <sheetData>
    <row r="1" spans="1:5" s="4" customFormat="1" ht="22.5" x14ac:dyDescent="0.3">
      <c r="A1" s="4" t="s">
        <v>4</v>
      </c>
    </row>
    <row r="3" spans="1:5" x14ac:dyDescent="0.25">
      <c r="A3" t="s">
        <v>9</v>
      </c>
    </row>
    <row r="5" spans="1:5" ht="20.25" thickBot="1" x14ac:dyDescent="0.35">
      <c r="A5" s="8" t="s">
        <v>11</v>
      </c>
    </row>
    <row r="6" spans="1:5" ht="15.75" thickTop="1" x14ac:dyDescent="0.25">
      <c r="A6" s="6" t="s">
        <v>12</v>
      </c>
    </row>
    <row r="7" spans="1:5" x14ac:dyDescent="0.25">
      <c r="A7" s="7" t="s">
        <v>10</v>
      </c>
    </row>
    <row r="8" spans="1:5" x14ac:dyDescent="0.25">
      <c r="A8" s="7"/>
    </row>
    <row r="9" spans="1:5" x14ac:dyDescent="0.25">
      <c r="A9" s="5" t="s">
        <v>6</v>
      </c>
      <c r="B9" t="s">
        <v>5</v>
      </c>
    </row>
    <row r="10" spans="1:5" x14ac:dyDescent="0.25">
      <c r="A10" s="5" t="s">
        <v>7</v>
      </c>
      <c r="B10" t="s">
        <v>8</v>
      </c>
    </row>
    <row r="12" spans="1:5" x14ac:dyDescent="0.25">
      <c r="A12" s="1" t="s">
        <v>19</v>
      </c>
      <c r="B12" s="1" t="s">
        <v>18</v>
      </c>
    </row>
    <row r="13" spans="1:5" x14ac:dyDescent="0.25">
      <c r="A13" t="s">
        <v>0</v>
      </c>
      <c r="B13" s="3" t="str">
        <f>GoogleGeocode(A13, "Add your API Key here")</f>
        <v>REQUEST_DENIED</v>
      </c>
      <c r="E13" t="s">
        <v>22</v>
      </c>
    </row>
    <row r="14" spans="1:5" x14ac:dyDescent="0.25">
      <c r="A14" t="s">
        <v>1</v>
      </c>
      <c r="B14" s="3" t="str">
        <f>GoogleGeocode(A14, "Add your API Key here")</f>
        <v>REQUEST_DENIED</v>
      </c>
      <c r="E14" t="s">
        <v>22</v>
      </c>
    </row>
    <row r="16" spans="1:5" x14ac:dyDescent="0.25">
      <c r="A16" s="1" t="s">
        <v>20</v>
      </c>
      <c r="B16" s="1" t="s">
        <v>2</v>
      </c>
      <c r="C16" s="1" t="s">
        <v>3</v>
      </c>
    </row>
    <row r="17" spans="1:5" x14ac:dyDescent="0.25">
      <c r="A17" s="3" t="str">
        <f>GoogleReverseGeocode(B17,C17,"API Key")</f>
        <v>REQUEST_DENIED</v>
      </c>
      <c r="B17">
        <v>30</v>
      </c>
      <c r="C17">
        <v>80</v>
      </c>
      <c r="E17" t="s">
        <v>22</v>
      </c>
    </row>
    <row r="18" spans="1:5" x14ac:dyDescent="0.25">
      <c r="A18" s="2"/>
    </row>
    <row r="19" spans="1:5" ht="20.25" thickBot="1" x14ac:dyDescent="0.35">
      <c r="A19" s="8" t="s">
        <v>13</v>
      </c>
    </row>
    <row r="20" spans="1:5" ht="15.75" thickTop="1" x14ac:dyDescent="0.25">
      <c r="A20" s="9" t="s">
        <v>14</v>
      </c>
    </row>
    <row r="21" spans="1:5" x14ac:dyDescent="0.25">
      <c r="A21" s="10" t="s">
        <v>15</v>
      </c>
    </row>
    <row r="22" spans="1:5" x14ac:dyDescent="0.25">
      <c r="A22" s="5"/>
    </row>
    <row r="23" spans="1:5" x14ac:dyDescent="0.25">
      <c r="A23" s="5" t="s">
        <v>17</v>
      </c>
      <c r="B23" t="s">
        <v>5</v>
      </c>
    </row>
    <row r="24" spans="1:5" x14ac:dyDescent="0.25">
      <c r="A24" s="5" t="s">
        <v>16</v>
      </c>
      <c r="B24" t="s">
        <v>8</v>
      </c>
    </row>
    <row r="26" spans="1:5" x14ac:dyDescent="0.25">
      <c r="A26" s="1" t="s">
        <v>19</v>
      </c>
      <c r="B26" s="1" t="s">
        <v>18</v>
      </c>
    </row>
    <row r="27" spans="1:5" x14ac:dyDescent="0.25">
      <c r="A27" t="s">
        <v>23</v>
      </c>
      <c r="B27" s="2" t="str">
        <f>nominatimgeocode(A27)</f>
        <v>50.81736435,12.924140775705357</v>
      </c>
    </row>
    <row r="28" spans="1:5" x14ac:dyDescent="0.25">
      <c r="A28" t="s">
        <v>24</v>
      </c>
      <c r="B28" s="2" t="str">
        <f>nominatimgeocode(A28)</f>
        <v>51.0488016,13.7219146</v>
      </c>
    </row>
    <row r="29" spans="1:5" x14ac:dyDescent="0.25">
      <c r="A29" t="s">
        <v>21</v>
      </c>
      <c r="B29" s="2" t="str">
        <f>nominatimgeocode(A29)</f>
        <v>52.5398222,13.4015572</v>
      </c>
    </row>
    <row r="31" spans="1:5" x14ac:dyDescent="0.25">
      <c r="A31" s="1" t="s">
        <v>20</v>
      </c>
      <c r="B31" s="1" t="s">
        <v>2</v>
      </c>
      <c r="C31" s="1" t="s">
        <v>3</v>
      </c>
    </row>
    <row r="32" spans="1:5" x14ac:dyDescent="0.25">
      <c r="A32" s="2" t="str">
        <f>NominatimReverseGeocode(B32,C32)</f>
        <v>Bhainkuno, Kapkot, Bageshwar, Uttarakhand, 263633, India</v>
      </c>
      <c r="B32">
        <v>30</v>
      </c>
      <c r="C32">
        <v>80</v>
      </c>
    </row>
  </sheetData>
  <hyperlinks>
    <hyperlink ref="A7" r:id="rId1" xr:uid="{2435DB04-A514-4EAC-9D02-904BC6148EDC}"/>
    <hyperlink ref="A21" r:id="rId2" xr:uid="{674C54A8-50D4-4200-8BB7-E91B511E442E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90FFB-542E-4889-B54C-990351B4B8C1}">
  <dimension ref="A2:B459"/>
  <sheetViews>
    <sheetView tabSelected="1" workbookViewId="0">
      <selection activeCell="A2" sqref="A2"/>
    </sheetView>
  </sheetViews>
  <sheetFormatPr baseColWidth="10" defaultRowHeight="15" x14ac:dyDescent="0.25"/>
  <cols>
    <col min="1" max="1" width="43.28515625" customWidth="1"/>
  </cols>
  <sheetData>
    <row r="2" spans="1:2" x14ac:dyDescent="0.25">
      <c r="A2" t="s">
        <v>23</v>
      </c>
      <c r="B2" s="2" t="str">
        <f>nominatimgeocode(A2)</f>
        <v>50.81736435,12.924140775705357</v>
      </c>
    </row>
    <row r="3" spans="1:2" x14ac:dyDescent="0.25">
      <c r="A3" t="s">
        <v>24</v>
      </c>
      <c r="B3" s="2" t="str">
        <f>nominatimgeocode(A3)</f>
        <v>51.0488016,13.7219146</v>
      </c>
    </row>
    <row r="4" spans="1:2" x14ac:dyDescent="0.25">
      <c r="A4" t="s">
        <v>25</v>
      </c>
      <c r="B4" s="2" t="str">
        <f>nominatimgeocode(A4)</f>
        <v>51.40301145,12.214850097312793</v>
      </c>
    </row>
    <row r="5" spans="1:2" x14ac:dyDescent="0.25">
      <c r="A5" t="s">
        <v>26</v>
      </c>
      <c r="B5" s="2" t="str">
        <f>nominatimgeocode(A5)</f>
        <v>51.128033450000004,13.709980849819328</v>
      </c>
    </row>
    <row r="6" spans="1:2" x14ac:dyDescent="0.25">
      <c r="A6" t="s">
        <v>27</v>
      </c>
      <c r="B6" s="2" t="str">
        <f>nominatimgeocode(A6)</f>
        <v>51.0503962,13.71219</v>
      </c>
    </row>
    <row r="7" spans="1:2" x14ac:dyDescent="0.25">
      <c r="A7" t="s">
        <v>28</v>
      </c>
      <c r="B7" s="2" t="str">
        <f>nominatimgeocode(A7)</f>
        <v>51.3424091,12.368007700921284</v>
      </c>
    </row>
    <row r="8" spans="1:2" x14ac:dyDescent="0.25">
      <c r="A8" t="s">
        <v>29</v>
      </c>
      <c r="B8" s="2" t="str">
        <f>nominatimgeocode(A8)</f>
        <v>51.31529095,13.281015733261846</v>
      </c>
    </row>
    <row r="9" spans="1:2" x14ac:dyDescent="0.25">
      <c r="A9" t="s">
        <v>30</v>
      </c>
      <c r="B9" s="2" t="str">
        <f>nominatimgeocode(A9)</f>
        <v>50.683198149999996,12.565585594503155</v>
      </c>
    </row>
    <row r="10" spans="1:2" x14ac:dyDescent="0.25">
      <c r="A10" t="s">
        <v>31</v>
      </c>
      <c r="B10" s="2" t="str">
        <f>nominatimgeocode(A10)</f>
        <v>51.0828737,12.9193838</v>
      </c>
    </row>
    <row r="11" spans="1:2" x14ac:dyDescent="0.25">
      <c r="A11" t="s">
        <v>32</v>
      </c>
      <c r="B11" s="2" t="str">
        <f>nominatimgeocode(A11)</f>
        <v>51.15360365,12.50620603802863</v>
      </c>
    </row>
    <row r="12" spans="1:2" x14ac:dyDescent="0.25">
      <c r="A12" t="s">
        <v>33</v>
      </c>
      <c r="B12" s="2" t="str">
        <f>nominatimgeocode(A12)</f>
        <v>50.9093556,13.3442086</v>
      </c>
    </row>
    <row r="13" spans="1:2" x14ac:dyDescent="0.25">
      <c r="A13" t="s">
        <v>34</v>
      </c>
      <c r="B13" s="2" t="str">
        <f>nominatimgeocode(A13)</f>
        <v>52.41141115,13.296210649999999</v>
      </c>
    </row>
    <row r="14" spans="1:2" x14ac:dyDescent="0.25">
      <c r="A14" t="s">
        <v>35</v>
      </c>
      <c r="B14" s="2" t="str">
        <f>nominatimgeocode(A14)</f>
        <v>51.403320050000005,13.438855197540896</v>
      </c>
    </row>
    <row r="15" spans="1:2" x14ac:dyDescent="0.25">
      <c r="A15" t="s">
        <v>36</v>
      </c>
      <c r="B15" s="2" t="str">
        <f>nominatimgeocode(A15)</f>
        <v>51.0546404,14.4882544</v>
      </c>
    </row>
    <row r="16" spans="1:2" x14ac:dyDescent="0.25">
      <c r="A16" t="s">
        <v>37</v>
      </c>
      <c r="B16" s="2" t="str">
        <f>nominatimgeocode(A16)</f>
        <v>50.6916207,12.5567023</v>
      </c>
    </row>
    <row r="17" spans="1:2" x14ac:dyDescent="0.25">
      <c r="A17" t="s">
        <v>38</v>
      </c>
      <c r="B17" s="2" t="str">
        <f>nominatimgeocode(A17)</f>
        <v>51.095299350000005,13.769173452932439</v>
      </c>
    </row>
    <row r="18" spans="1:2" x14ac:dyDescent="0.25">
      <c r="A18" t="s">
        <v>39</v>
      </c>
      <c r="B18" s="2" t="str">
        <f>nominatimgeocode(A18)</f>
        <v>51.011027150000004,13.700440855307743</v>
      </c>
    </row>
    <row r="19" spans="1:2" x14ac:dyDescent="0.25">
      <c r="A19" t="s">
        <v>40</v>
      </c>
      <c r="B19" s="2" t="str">
        <f>nominatimgeocode(A19)</f>
        <v>51.4430263,14.266421612968198</v>
      </c>
    </row>
    <row r="20" spans="1:2" x14ac:dyDescent="0.25">
      <c r="A20" t="s">
        <v>41</v>
      </c>
      <c r="B20" s="2" t="str">
        <f>nominatimgeocode(A20)</f>
        <v>51.03075905,13.714092924365827</v>
      </c>
    </row>
    <row r="21" spans="1:2" x14ac:dyDescent="0.25">
      <c r="A21" t="s">
        <v>42</v>
      </c>
      <c r="B21" s="2" t="str">
        <f>nominatimgeocode(A21)</f>
        <v>50.7961271,12.9172077</v>
      </c>
    </row>
    <row r="22" spans="1:2" x14ac:dyDescent="0.25">
      <c r="A22" t="s">
        <v>43</v>
      </c>
      <c r="B22" s="2" t="str">
        <f>nominatimgeocode(A22)</f>
        <v>50.9273947,13.3384631</v>
      </c>
    </row>
    <row r="23" spans="1:2" x14ac:dyDescent="0.25">
      <c r="A23" t="s">
        <v>44</v>
      </c>
      <c r="B23" s="2" t="str">
        <f>nominatimgeocode(A23)</f>
        <v>51.12404775,13.734499825412543</v>
      </c>
    </row>
    <row r="24" spans="1:2" x14ac:dyDescent="0.25">
      <c r="A24" t="s">
        <v>45</v>
      </c>
      <c r="B24" s="2" t="str">
        <f>nominatimgeocode(A24)</f>
        <v>50.8610266,12.7611043</v>
      </c>
    </row>
    <row r="25" spans="1:2" x14ac:dyDescent="0.25">
      <c r="A25" t="s">
        <v>46</v>
      </c>
      <c r="B25" s="2" t="str">
        <f>nominatimgeocode(A25)</f>
        <v>51.0268398,13.722932188807048</v>
      </c>
    </row>
    <row r="26" spans="1:2" x14ac:dyDescent="0.25">
      <c r="A26" t="s">
        <v>47</v>
      </c>
      <c r="B26" s="2" t="str">
        <f>nominatimgeocode(A26)</f>
        <v>51.0402452,13.7320768</v>
      </c>
    </row>
    <row r="27" spans="1:2" x14ac:dyDescent="0.25">
      <c r="A27" t="s">
        <v>48</v>
      </c>
      <c r="B27" s="2" t="str">
        <f>nominatimgeocode(A27)</f>
        <v>51.3422752,12.3787781</v>
      </c>
    </row>
    <row r="28" spans="1:2" x14ac:dyDescent="0.25">
      <c r="A28" t="s">
        <v>49</v>
      </c>
      <c r="B28" s="2" t="str">
        <f>nominatimgeocode(A28)</f>
        <v>50.70506115,12.757935546356958</v>
      </c>
    </row>
    <row r="29" spans="1:2" x14ac:dyDescent="0.25">
      <c r="A29" t="s">
        <v>50</v>
      </c>
      <c r="B29" s="2" t="str">
        <f>nominatimgeocode(A29)</f>
        <v>51.04570215,13.703691548205764</v>
      </c>
    </row>
    <row r="30" spans="1:2" x14ac:dyDescent="0.25">
      <c r="A30" t="s">
        <v>51</v>
      </c>
      <c r="B30" s="2" t="str">
        <f>nominatimgeocode(A30)</f>
        <v>50.61868785,12.748350035521561</v>
      </c>
    </row>
    <row r="31" spans="1:2" x14ac:dyDescent="0.25">
      <c r="A31" t="s">
        <v>52</v>
      </c>
      <c r="B31" s="2" t="str">
        <f>nominatimgeocode(A31)</f>
        <v>51.00054335,13.650029703959628</v>
      </c>
    </row>
    <row r="32" spans="1:2" x14ac:dyDescent="0.25">
      <c r="A32" t="s">
        <v>53</v>
      </c>
      <c r="B32" s="2" t="str">
        <f>nominatimgeocode(A32)</f>
        <v>51.05511855,13.783599759194157</v>
      </c>
    </row>
    <row r="33" spans="1:2" x14ac:dyDescent="0.25">
      <c r="A33" t="s">
        <v>54</v>
      </c>
      <c r="B33" s="2" t="str">
        <f>nominatimgeocode(A33)</f>
        <v>51.0983928,13.770450996972233</v>
      </c>
    </row>
    <row r="34" spans="1:2" x14ac:dyDescent="0.25">
      <c r="A34" t="s">
        <v>55</v>
      </c>
      <c r="B34" s="2" t="str">
        <f>nominatimgeocode(A34)</f>
        <v>51.1288825,13.915135</v>
      </c>
    </row>
    <row r="35" spans="1:2" x14ac:dyDescent="0.25">
      <c r="A35" t="s">
        <v>56</v>
      </c>
      <c r="B35" s="2" t="str">
        <f>nominatimgeocode(A35)</f>
        <v>50.75395175,12.952986454945478</v>
      </c>
    </row>
    <row r="36" spans="1:2" x14ac:dyDescent="0.25">
      <c r="A36" t="s">
        <v>57</v>
      </c>
      <c r="B36" s="2" t="str">
        <f>nominatimgeocode(A36)</f>
        <v>51.1337939,13.7788677</v>
      </c>
    </row>
    <row r="37" spans="1:2" x14ac:dyDescent="0.25">
      <c r="A37" t="s">
        <v>58</v>
      </c>
      <c r="B37" s="2" t="str">
        <f>nominatimgeocode(A37)</f>
        <v>50.9963748,13.835865</v>
      </c>
    </row>
    <row r="38" spans="1:2" x14ac:dyDescent="0.25">
      <c r="A38" t="s">
        <v>59</v>
      </c>
      <c r="B38" s="2" t="str">
        <f>nominatimgeocode(A38)</f>
        <v>51.106103,14.20126786741039</v>
      </c>
    </row>
    <row r="39" spans="1:2" x14ac:dyDescent="0.25">
      <c r="A39" t="s">
        <v>60</v>
      </c>
      <c r="B39" s="2" t="str">
        <f>nominatimgeocode(A39)</f>
        <v>50.8106672,13.06249693929378</v>
      </c>
    </row>
    <row r="40" spans="1:2" x14ac:dyDescent="0.25">
      <c r="A40" t="s">
        <v>61</v>
      </c>
      <c r="B40" s="2" t="str">
        <f>nominatimgeocode(A40)</f>
        <v>50.747263,12.987449</v>
      </c>
    </row>
    <row r="41" spans="1:2" x14ac:dyDescent="0.25">
      <c r="A41" t="s">
        <v>62</v>
      </c>
      <c r="B41" s="2" t="str">
        <f>nominatimgeocode(A41)</f>
        <v>51.009650199999996,13.697896842409861</v>
      </c>
    </row>
    <row r="42" spans="1:2" x14ac:dyDescent="0.25">
      <c r="A42" t="s">
        <v>63</v>
      </c>
      <c r="B42" s="2" t="str">
        <f>nominatimgeocode(A42)</f>
        <v>50.813682,12.925237525859572</v>
      </c>
    </row>
    <row r="43" spans="1:2" x14ac:dyDescent="0.25">
      <c r="A43" t="s">
        <v>42</v>
      </c>
      <c r="B43" s="2" t="str">
        <f>nominatimgeocode(A43)</f>
        <v>50.7961271,12.9172077</v>
      </c>
    </row>
    <row r="44" spans="1:2" x14ac:dyDescent="0.25">
      <c r="A44" t="s">
        <v>64</v>
      </c>
      <c r="B44" s="2" t="str">
        <f>nominatimgeocode(A44)</f>
        <v>51.3784279,12.4693134</v>
      </c>
    </row>
    <row r="45" spans="1:2" x14ac:dyDescent="0.25">
      <c r="A45" t="s">
        <v>65</v>
      </c>
      <c r="B45" s="2" t="str">
        <f>nominatimgeocode(A45)</f>
        <v>50.80466475,12.853366816127556</v>
      </c>
    </row>
    <row r="46" spans="1:2" x14ac:dyDescent="0.25">
      <c r="A46" t="s">
        <v>66</v>
      </c>
      <c r="B46" s="2" t="str">
        <f>nominatimgeocode(A46)</f>
        <v>50.82952935,12.824991861160104</v>
      </c>
    </row>
    <row r="47" spans="1:2" x14ac:dyDescent="0.25">
      <c r="A47" t="s">
        <v>67</v>
      </c>
      <c r="B47" s="2" t="str">
        <f>nominatimgeocode(A47)</f>
        <v>51.3290534,12.3291944</v>
      </c>
    </row>
    <row r="48" spans="1:2" x14ac:dyDescent="0.25">
      <c r="A48" t="s">
        <v>68</v>
      </c>
      <c r="B48" s="2" t="str">
        <f>nominatimgeocode(A48)</f>
        <v>50.8348762,13.436433945024</v>
      </c>
    </row>
    <row r="49" spans="1:2" x14ac:dyDescent="0.25">
      <c r="A49" t="s">
        <v>69</v>
      </c>
      <c r="B49" s="2" t="str">
        <f>nominatimgeocode(A49)</f>
        <v>50.98738,12.972824</v>
      </c>
    </row>
    <row r="50" spans="1:2" x14ac:dyDescent="0.25">
      <c r="A50" t="s">
        <v>135</v>
      </c>
      <c r="B50" s="2" t="str">
        <f>nominatimgeocode(A50)</f>
        <v>50.893179450000005,14.804417450000003</v>
      </c>
    </row>
    <row r="51" spans="1:2" x14ac:dyDescent="0.25">
      <c r="A51" t="s">
        <v>70</v>
      </c>
      <c r="B51" s="2" t="str">
        <f>nominatimgeocode(A51)</f>
        <v>51.03754545,13.735155687776027</v>
      </c>
    </row>
    <row r="52" spans="1:2" x14ac:dyDescent="0.25">
      <c r="A52" t="s">
        <v>71</v>
      </c>
      <c r="B52" s="2" t="str">
        <f>nominatimgeocode(A52)</f>
        <v>51.3142081,12.37297079388441</v>
      </c>
    </row>
    <row r="53" spans="1:2" x14ac:dyDescent="0.25">
      <c r="A53" t="s">
        <v>72</v>
      </c>
      <c r="B53" s="2" t="str">
        <f>nominatimgeocode(A53)</f>
        <v>50.70705555,12.490833449999998</v>
      </c>
    </row>
    <row r="54" spans="1:2" x14ac:dyDescent="0.25">
      <c r="A54" t="s">
        <v>73</v>
      </c>
      <c r="B54" s="2" t="str">
        <f>nominatimgeocode(A54)</f>
        <v>51.4319867,14.2847914</v>
      </c>
    </row>
    <row r="55" spans="1:2" x14ac:dyDescent="0.25">
      <c r="A55" t="s">
        <v>54</v>
      </c>
      <c r="B55" s="2" t="str">
        <f>nominatimgeocode(A55)</f>
        <v>51.0983928,13.770450996972233</v>
      </c>
    </row>
    <row r="56" spans="1:2" x14ac:dyDescent="0.25">
      <c r="A56" t="s">
        <v>74</v>
      </c>
      <c r="B56" s="2" t="str">
        <f>nominatimgeocode(A56)</f>
        <v>50.8112929,12.905054448440282</v>
      </c>
    </row>
    <row r="57" spans="1:2" x14ac:dyDescent="0.25">
      <c r="A57" t="s">
        <v>75</v>
      </c>
      <c r="B57" s="2" t="str">
        <f>nominatimgeocode(A57)</f>
        <v>50.8118193,12.8487202</v>
      </c>
    </row>
    <row r="58" spans="1:2" x14ac:dyDescent="0.25">
      <c r="A58" t="s">
        <v>76</v>
      </c>
      <c r="B58" s="2" t="str">
        <f>nominatimgeocode(A58)</f>
        <v>51.0618482,13.6814365</v>
      </c>
    </row>
    <row r="59" spans="1:2" x14ac:dyDescent="0.25">
      <c r="A59" t="s">
        <v>77</v>
      </c>
      <c r="B59" s="2" t="str">
        <f>nominatimgeocode(A59)</f>
        <v>51.1768437,13.844927841871717</v>
      </c>
    </row>
    <row r="60" spans="1:2" x14ac:dyDescent="0.25">
      <c r="A60" t="s">
        <v>78</v>
      </c>
      <c r="B60" s="2" t="str">
        <f>nominatimgeocode(A60)</f>
        <v>51.118584,13.589806706775118</v>
      </c>
    </row>
    <row r="61" spans="1:2" x14ac:dyDescent="0.25">
      <c r="A61" t="s">
        <v>79</v>
      </c>
      <c r="B61" s="2" t="str">
        <f>nominatimgeocode(A61)</f>
        <v>51.1037885,13.7751555</v>
      </c>
    </row>
    <row r="62" spans="1:2" x14ac:dyDescent="0.25">
      <c r="A62" t="s">
        <v>80</v>
      </c>
      <c r="B62" s="2" t="str">
        <f>nominatimgeocode(A62)</f>
        <v>51.3086473,12.3749443</v>
      </c>
    </row>
    <row r="63" spans="1:2" x14ac:dyDescent="0.25">
      <c r="A63" t="s">
        <v>81</v>
      </c>
      <c r="B63" s="2" t="str">
        <f>nominatimgeocode(A63)</f>
        <v>51.1610859,13.800931650000006</v>
      </c>
    </row>
    <row r="64" spans="1:2" x14ac:dyDescent="0.25">
      <c r="A64" t="s">
        <v>82</v>
      </c>
      <c r="B64" s="2" t="str">
        <f>nominatimgeocode(A64)</f>
        <v>50.80371985,12.852519457841789</v>
      </c>
    </row>
    <row r="65" spans="1:2" x14ac:dyDescent="0.25">
      <c r="A65" t="s">
        <v>83</v>
      </c>
      <c r="B65" s="2" t="str">
        <f>nominatimgeocode(A65)</f>
        <v>51.1838479,13.838300445901218</v>
      </c>
    </row>
    <row r="66" spans="1:2" x14ac:dyDescent="0.25">
      <c r="A66" t="s">
        <v>84</v>
      </c>
      <c r="B66" s="2" t="str">
        <f>nominatimgeocode(A66)</f>
        <v>51.1900227,13.318338672135528</v>
      </c>
    </row>
    <row r="67" spans="1:2" x14ac:dyDescent="0.25">
      <c r="A67" t="s">
        <v>85</v>
      </c>
      <c r="B67" s="2" t="str">
        <f>nominatimgeocode(A67)</f>
        <v>50.603043799999995,12.320676916761172</v>
      </c>
    </row>
    <row r="68" spans="1:2" x14ac:dyDescent="0.25">
      <c r="A68" t="s">
        <v>86</v>
      </c>
      <c r="B68" s="2" t="str">
        <f>nominatimgeocode(A68)</f>
        <v>51.25459935,12.45793153964233</v>
      </c>
    </row>
    <row r="69" spans="1:2" x14ac:dyDescent="0.25">
      <c r="A69" t="s">
        <v>87</v>
      </c>
      <c r="B69" s="2" t="str">
        <f>nominatimgeocode(A69)</f>
        <v>51.0139901,13.792520011631183</v>
      </c>
    </row>
    <row r="70" spans="1:2" x14ac:dyDescent="0.25">
      <c r="A70" t="s">
        <v>88</v>
      </c>
      <c r="B70" s="2" t="str">
        <f>nominatimgeocode(A70)</f>
        <v>50.55830065,12.174168612132133</v>
      </c>
    </row>
    <row r="71" spans="1:2" x14ac:dyDescent="0.25">
      <c r="A71" t="s">
        <v>89</v>
      </c>
      <c r="B71" s="2" t="str">
        <f>nominatimgeocode(A71)</f>
        <v>51.3314279,12.586095328449348</v>
      </c>
    </row>
    <row r="72" spans="1:2" x14ac:dyDescent="0.25">
      <c r="A72" t="s">
        <v>90</v>
      </c>
      <c r="B72" s="2" t="str">
        <f>nominatimgeocode(A72)</f>
        <v>50.67626225,13.1179115373057</v>
      </c>
    </row>
    <row r="73" spans="1:2" x14ac:dyDescent="0.25">
      <c r="A73" t="s">
        <v>91</v>
      </c>
      <c r="B73" s="2" t="str">
        <f>nominatimgeocode(A73)</f>
        <v>50.804668199999995,12.853834337741965</v>
      </c>
    </row>
    <row r="74" spans="1:2" x14ac:dyDescent="0.25">
      <c r="A74" t="s">
        <v>92</v>
      </c>
      <c r="B74" s="2" t="str">
        <f>nominatimgeocode(A74)</f>
        <v>50.85884315,12.799498783687568</v>
      </c>
    </row>
    <row r="75" spans="1:2" x14ac:dyDescent="0.25">
      <c r="A75" t="s">
        <v>93</v>
      </c>
      <c r="B75" s="2" t="str">
        <f>nominatimgeocode(A75)</f>
        <v>51.0116235,13.798922</v>
      </c>
    </row>
    <row r="76" spans="1:2" x14ac:dyDescent="0.25">
      <c r="A76" t="s">
        <v>94</v>
      </c>
      <c r="B76" s="2" t="str">
        <f>nominatimgeocode(A76)</f>
        <v>51.0937502,13.6047394</v>
      </c>
    </row>
    <row r="77" spans="1:2" x14ac:dyDescent="0.25">
      <c r="A77" t="s">
        <v>95</v>
      </c>
      <c r="B77" s="2" t="str">
        <f>nominatimgeocode(A77)</f>
        <v>50.853269999999995,12.639887858797081</v>
      </c>
    </row>
    <row r="78" spans="1:2" x14ac:dyDescent="0.25">
      <c r="A78" t="s">
        <v>28</v>
      </c>
      <c r="B78" s="2" t="str">
        <f>nominatimgeocode(A78)</f>
        <v>51.3424091,12.368007700921284</v>
      </c>
    </row>
    <row r="79" spans="1:2" x14ac:dyDescent="0.25">
      <c r="A79" t="s">
        <v>96</v>
      </c>
      <c r="B79" s="2" t="str">
        <f>nominatimgeocode(A79)</f>
        <v>50.8391669,12.928299383917375</v>
      </c>
    </row>
    <row r="80" spans="1:2" x14ac:dyDescent="0.25">
      <c r="A80" t="s">
        <v>97</v>
      </c>
      <c r="B80" s="2" t="str">
        <f>nominatimgeocode(A80)</f>
        <v>51.032170199999996,13.758223857120665</v>
      </c>
    </row>
    <row r="81" spans="1:2" x14ac:dyDescent="0.25">
      <c r="A81" t="s">
        <v>98</v>
      </c>
      <c r="B81" s="2" t="str">
        <f>nominatimgeocode(A81)</f>
        <v>50.8203915,12.8915905</v>
      </c>
    </row>
    <row r="82" spans="1:2" x14ac:dyDescent="0.25">
      <c r="A82" t="s">
        <v>99</v>
      </c>
      <c r="B82" s="2" t="str">
        <f>nominatimgeocode(A82)</f>
        <v>51.1220016,13.7628847</v>
      </c>
    </row>
    <row r="83" spans="1:2" x14ac:dyDescent="0.25">
      <c r="A83" t="s">
        <v>100</v>
      </c>
      <c r="B83" s="2" t="str">
        <f>nominatimgeocode(A83)</f>
        <v>50.8035643,12.9232901</v>
      </c>
    </row>
    <row r="84" spans="1:2" x14ac:dyDescent="0.25">
      <c r="A84" t="s">
        <v>101</v>
      </c>
      <c r="B84" s="2" t="str">
        <f>nominatimgeocode(A84)</f>
        <v>50.50582385,12.64320215</v>
      </c>
    </row>
    <row r="85" spans="1:2" x14ac:dyDescent="0.25">
      <c r="A85" t="s">
        <v>102</v>
      </c>
      <c r="B85" s="2" t="str">
        <f>nominatimgeocode(A85)</f>
        <v>51.30864,14.30886287898197</v>
      </c>
    </row>
    <row r="86" spans="1:2" x14ac:dyDescent="0.25">
      <c r="A86" t="s">
        <v>103</v>
      </c>
      <c r="B86" s="2" t="str">
        <f>nominatimgeocode(A86)</f>
        <v>50.55952645,12.788166899501471</v>
      </c>
    </row>
    <row r="87" spans="1:2" x14ac:dyDescent="0.25">
      <c r="A87" t="s">
        <v>104</v>
      </c>
      <c r="B87" s="2" t="str">
        <f>nominatimgeocode(A87)</f>
        <v>51.134624,14.406442797063278</v>
      </c>
    </row>
    <row r="88" spans="1:2" x14ac:dyDescent="0.25">
      <c r="A88" t="s">
        <v>105</v>
      </c>
      <c r="B88" s="2" t="str">
        <f>nominatimgeocode(A88)</f>
        <v>51.01000875,13.700845400513384</v>
      </c>
    </row>
    <row r="89" spans="1:2" x14ac:dyDescent="0.25">
      <c r="A89" t="s">
        <v>106</v>
      </c>
      <c r="B89" s="2" t="str">
        <f>nominatimgeocode(A89)</f>
        <v>50.90550165,14.833019001039013</v>
      </c>
    </row>
    <row r="90" spans="1:2" x14ac:dyDescent="0.25">
      <c r="A90" t="s">
        <v>107</v>
      </c>
      <c r="B90" s="2" t="str">
        <f>nominatimgeocode(A90)</f>
        <v>50.8596059,13.6645282</v>
      </c>
    </row>
    <row r="91" spans="1:2" x14ac:dyDescent="0.25">
      <c r="A91" t="s">
        <v>42</v>
      </c>
      <c r="B91" s="2" t="str">
        <f>nominatimgeocode(A91)</f>
        <v>50.7961271,12.9172077</v>
      </c>
    </row>
    <row r="92" spans="1:2" x14ac:dyDescent="0.25">
      <c r="A92" t="s">
        <v>136</v>
      </c>
      <c r="B92" s="2" t="str">
        <f>nominatimgeocode(A92)</f>
        <v>50.727705549999996,12.47519501056426</v>
      </c>
    </row>
    <row r="93" spans="1:2" x14ac:dyDescent="0.25">
      <c r="A93" t="s">
        <v>108</v>
      </c>
      <c r="B93" s="2" t="str">
        <f>nominatimgeocode(A93)</f>
        <v>50.7354828,12.5568263</v>
      </c>
    </row>
    <row r="94" spans="1:2" x14ac:dyDescent="0.25">
      <c r="A94" t="s">
        <v>109</v>
      </c>
      <c r="B94" s="2" t="str">
        <f>nominatimgeocode(A94)</f>
        <v>51.3412597,12.3838944</v>
      </c>
    </row>
    <row r="95" spans="1:2" x14ac:dyDescent="0.25">
      <c r="A95" t="s">
        <v>110</v>
      </c>
      <c r="B95" s="2" t="str">
        <f>nominatimgeocode(A95)</f>
        <v>50.8674906,12.9067597</v>
      </c>
    </row>
    <row r="96" spans="1:2" x14ac:dyDescent="0.25">
      <c r="A96" t="s">
        <v>111</v>
      </c>
      <c r="B96" s="2" t="str">
        <f>nominatimgeocode(A96)</f>
        <v>51.0510557,13.733773</v>
      </c>
    </row>
    <row r="97" spans="1:2" x14ac:dyDescent="0.25">
      <c r="A97" t="s">
        <v>111</v>
      </c>
      <c r="B97" s="2" t="str">
        <f>nominatimgeocode(A97)</f>
        <v>51.0510557,13.733773</v>
      </c>
    </row>
    <row r="98" spans="1:2" x14ac:dyDescent="0.25">
      <c r="A98" t="s">
        <v>112</v>
      </c>
      <c r="B98" s="2" t="str">
        <f>nominatimgeocode(A98)</f>
        <v>51.2082412,12.3358078</v>
      </c>
    </row>
    <row r="99" spans="1:2" x14ac:dyDescent="0.25">
      <c r="A99" t="s">
        <v>113</v>
      </c>
      <c r="B99" s="2" t="str">
        <f>nominatimgeocode(A99)</f>
        <v>50.6772273,12.916370402982256</v>
      </c>
    </row>
    <row r="100" spans="1:2" x14ac:dyDescent="0.25">
      <c r="A100" t="s">
        <v>114</v>
      </c>
      <c r="B100" s="2" t="str">
        <f>nominatimgeocode(A100)</f>
        <v>50.985820950000004,14.661243462500002</v>
      </c>
    </row>
    <row r="101" spans="1:2" x14ac:dyDescent="0.25">
      <c r="A101" t="s">
        <v>115</v>
      </c>
      <c r="B101" s="2" t="str">
        <f>nominatimgeocode(A101)</f>
        <v>50.804116300000004,12.850775107999647</v>
      </c>
    </row>
    <row r="102" spans="1:2" x14ac:dyDescent="0.25">
      <c r="A102" t="s">
        <v>116</v>
      </c>
      <c r="B102" s="2" t="str">
        <f>nominatimgeocode(A102)</f>
        <v>50.59960215,12.315582064661328</v>
      </c>
    </row>
    <row r="103" spans="1:2" x14ac:dyDescent="0.25">
      <c r="A103" t="s">
        <v>117</v>
      </c>
      <c r="B103" s="2" t="str">
        <f>nominatimgeocode(A103)</f>
        <v>50.9371026,14.797077855568048</v>
      </c>
    </row>
    <row r="104" spans="1:2" x14ac:dyDescent="0.25">
      <c r="A104" t="s">
        <v>38</v>
      </c>
      <c r="B104" s="2" t="str">
        <f>nominatimgeocode(A104)</f>
        <v>51.095299350000005,13.769173452932439</v>
      </c>
    </row>
    <row r="105" spans="1:2" x14ac:dyDescent="0.25">
      <c r="A105" t="s">
        <v>118</v>
      </c>
      <c r="B105" s="2" t="str">
        <f>nominatimgeocode(A105)</f>
        <v>50.816067700000005,12.92600968029312</v>
      </c>
    </row>
    <row r="106" spans="1:2" x14ac:dyDescent="0.25">
      <c r="A106" t="s">
        <v>119</v>
      </c>
      <c r="B106" s="2" t="str">
        <f>nominatimgeocode(A106)</f>
        <v>51.01384255,13.755086398730704</v>
      </c>
    </row>
    <row r="107" spans="1:2" x14ac:dyDescent="0.25">
      <c r="A107" t="s">
        <v>120</v>
      </c>
      <c r="B107" s="2" t="str">
        <f>nominatimgeocode(A107)</f>
        <v>50.8482782,12.9214875</v>
      </c>
    </row>
    <row r="108" spans="1:2" x14ac:dyDescent="0.25">
      <c r="A108" t="s">
        <v>121</v>
      </c>
      <c r="B108" s="2" t="str">
        <f>nominatimgeocode(A108)</f>
        <v>50.7729803,12.6741761</v>
      </c>
    </row>
    <row r="109" spans="1:2" x14ac:dyDescent="0.25">
      <c r="A109" t="s">
        <v>122</v>
      </c>
      <c r="B109" s="2" t="str">
        <f>nominatimgeocode(A109)</f>
        <v>50.91844705,13.34102969488023</v>
      </c>
    </row>
    <row r="110" spans="1:2" x14ac:dyDescent="0.25">
      <c r="A110" t="s">
        <v>123</v>
      </c>
      <c r="B110" s="2" t="str">
        <f>nominatimgeocode(A110)</f>
        <v>50.91847225,13.340608065474656</v>
      </c>
    </row>
    <row r="111" spans="1:2" x14ac:dyDescent="0.25">
      <c r="A111" t="s">
        <v>96</v>
      </c>
      <c r="B111" s="2" t="str">
        <f>nominatimgeocode(A111)</f>
        <v>50.8391669,12.928299383917375</v>
      </c>
    </row>
    <row r="112" spans="1:2" x14ac:dyDescent="0.25">
      <c r="A112" t="s">
        <v>124</v>
      </c>
      <c r="B112" s="2" t="str">
        <f>nominatimgeocode(A112)</f>
        <v>51.0205375,13.727780780684057</v>
      </c>
    </row>
    <row r="113" spans="1:2" x14ac:dyDescent="0.25">
      <c r="A113" t="s">
        <v>125</v>
      </c>
      <c r="B113" s="2" t="str">
        <f>nominatimgeocode(A113)</f>
        <v>51.0403378,13.7159304</v>
      </c>
    </row>
    <row r="114" spans="1:2" x14ac:dyDescent="0.25">
      <c r="A114" t="s">
        <v>126</v>
      </c>
      <c r="B114" s="2" t="str">
        <f>nominatimgeocode(A114)</f>
        <v>51.0264877,13.7225709</v>
      </c>
    </row>
    <row r="115" spans="1:2" x14ac:dyDescent="0.25">
      <c r="A115" t="s">
        <v>126</v>
      </c>
      <c r="B115" s="2" t="str">
        <f>nominatimgeocode(A115)</f>
        <v>51.0264877,13.7225709</v>
      </c>
    </row>
    <row r="116" spans="1:2" x14ac:dyDescent="0.25">
      <c r="A116" t="s">
        <v>127</v>
      </c>
      <c r="B116" s="2" t="str">
        <f>nominatimgeocode(A116)</f>
        <v>51.0268398,13.722932188807048</v>
      </c>
    </row>
    <row r="117" spans="1:2" x14ac:dyDescent="0.25">
      <c r="A117" t="s">
        <v>128</v>
      </c>
      <c r="B117" s="2" t="str">
        <f>nominatimgeocode(A117)</f>
        <v>51.341737,12.391174</v>
      </c>
    </row>
    <row r="118" spans="1:2" x14ac:dyDescent="0.25">
      <c r="A118" t="s">
        <v>129</v>
      </c>
      <c r="B118" s="2" t="str">
        <f>nominatimgeocode(A118)</f>
        <v>51.0692347,13.7792388</v>
      </c>
    </row>
    <row r="119" spans="1:2" x14ac:dyDescent="0.25">
      <c r="A119" t="s">
        <v>130</v>
      </c>
      <c r="B119" s="2" t="str">
        <f>nominatimgeocode(A119)</f>
        <v>51.0445459,13.755933893750003</v>
      </c>
    </row>
    <row r="120" spans="1:2" x14ac:dyDescent="0.25">
      <c r="A120" t="s">
        <v>137</v>
      </c>
      <c r="B120" s="2" t="str">
        <f>nominatimgeocode(A120)</f>
        <v>50.6327767,13.121879880802698</v>
      </c>
    </row>
    <row r="121" spans="1:2" x14ac:dyDescent="0.25">
      <c r="A121" t="s">
        <v>131</v>
      </c>
      <c r="B121" s="2" t="str">
        <f>nominatimgeocode(A121)</f>
        <v>52.551010149999996,13.380865171689042</v>
      </c>
    </row>
    <row r="122" spans="1:2" x14ac:dyDescent="0.25">
      <c r="A122" t="s">
        <v>132</v>
      </c>
      <c r="B122" s="2" t="str">
        <f>nominatimgeocode(A122)</f>
        <v>51.0330162,13.761029756325966</v>
      </c>
    </row>
    <row r="123" spans="1:2" x14ac:dyDescent="0.25">
      <c r="A123" t="s">
        <v>133</v>
      </c>
      <c r="B123" s="2" t="str">
        <f>nominatimgeocode(A123)</f>
        <v>50.5989625,12.318137298651763</v>
      </c>
    </row>
    <row r="124" spans="1:2" x14ac:dyDescent="0.25">
      <c r="A124" t="s">
        <v>134</v>
      </c>
      <c r="B124" s="2" t="str">
        <f>nominatimgeocode(A124)</f>
        <v>51.0108208,13.7057583</v>
      </c>
    </row>
    <row r="125" spans="1:2" x14ac:dyDescent="0.25">
      <c r="B125" s="3"/>
    </row>
    <row r="126" spans="1:2" x14ac:dyDescent="0.25">
      <c r="B126" s="3"/>
    </row>
    <row r="127" spans="1:2" x14ac:dyDescent="0.25">
      <c r="B127" s="3"/>
    </row>
    <row r="128" spans="1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  <row r="164" spans="2:2" x14ac:dyDescent="0.25">
      <c r="B164" s="3"/>
    </row>
    <row r="165" spans="2:2" x14ac:dyDescent="0.25">
      <c r="B165" s="3"/>
    </row>
    <row r="166" spans="2:2" x14ac:dyDescent="0.25">
      <c r="B166" s="3"/>
    </row>
    <row r="167" spans="2:2" x14ac:dyDescent="0.25">
      <c r="B167" s="3"/>
    </row>
    <row r="168" spans="2:2" x14ac:dyDescent="0.25">
      <c r="B168" s="3"/>
    </row>
    <row r="169" spans="2:2" x14ac:dyDescent="0.25">
      <c r="B169" s="3"/>
    </row>
    <row r="170" spans="2:2" x14ac:dyDescent="0.25">
      <c r="B170" s="3"/>
    </row>
    <row r="171" spans="2:2" x14ac:dyDescent="0.25">
      <c r="B171" s="3"/>
    </row>
    <row r="172" spans="2:2" x14ac:dyDescent="0.25">
      <c r="B172" s="3"/>
    </row>
    <row r="173" spans="2:2" x14ac:dyDescent="0.25">
      <c r="B173" s="3"/>
    </row>
    <row r="174" spans="2:2" x14ac:dyDescent="0.25">
      <c r="B174" s="3"/>
    </row>
    <row r="175" spans="2:2" x14ac:dyDescent="0.25">
      <c r="B175" s="3"/>
    </row>
    <row r="176" spans="2:2" x14ac:dyDescent="0.25">
      <c r="B176" s="3"/>
    </row>
    <row r="177" spans="2:2" x14ac:dyDescent="0.25">
      <c r="B177" s="3"/>
    </row>
    <row r="178" spans="2:2" x14ac:dyDescent="0.25">
      <c r="B178" s="3"/>
    </row>
    <row r="179" spans="2:2" x14ac:dyDescent="0.25">
      <c r="B179" s="3"/>
    </row>
    <row r="180" spans="2:2" x14ac:dyDescent="0.25">
      <c r="B180" s="3"/>
    </row>
    <row r="181" spans="2:2" x14ac:dyDescent="0.25">
      <c r="B181" s="3"/>
    </row>
    <row r="182" spans="2:2" x14ac:dyDescent="0.25">
      <c r="B182" s="3"/>
    </row>
    <row r="183" spans="2:2" x14ac:dyDescent="0.25">
      <c r="B183" s="3"/>
    </row>
    <row r="184" spans="2:2" x14ac:dyDescent="0.25">
      <c r="B184" s="3"/>
    </row>
    <row r="185" spans="2:2" x14ac:dyDescent="0.25">
      <c r="B185" s="3"/>
    </row>
    <row r="186" spans="2:2" x14ac:dyDescent="0.25">
      <c r="B186" s="3"/>
    </row>
    <row r="187" spans="2:2" x14ac:dyDescent="0.25">
      <c r="B187" s="3"/>
    </row>
    <row r="188" spans="2:2" x14ac:dyDescent="0.25">
      <c r="B188" s="3"/>
    </row>
    <row r="189" spans="2:2" x14ac:dyDescent="0.25">
      <c r="B189" s="3"/>
    </row>
    <row r="190" spans="2:2" x14ac:dyDescent="0.25">
      <c r="B190" s="3"/>
    </row>
    <row r="191" spans="2:2" x14ac:dyDescent="0.25">
      <c r="B191" s="3"/>
    </row>
    <row r="192" spans="2:2" x14ac:dyDescent="0.25">
      <c r="B192" s="3"/>
    </row>
    <row r="193" spans="2:2" x14ac:dyDescent="0.25">
      <c r="B193" s="3"/>
    </row>
    <row r="194" spans="2:2" x14ac:dyDescent="0.25">
      <c r="B194" s="3"/>
    </row>
    <row r="195" spans="2:2" x14ac:dyDescent="0.25">
      <c r="B195" s="3"/>
    </row>
    <row r="196" spans="2:2" x14ac:dyDescent="0.25">
      <c r="B196" s="3"/>
    </row>
    <row r="197" spans="2:2" x14ac:dyDescent="0.25">
      <c r="B197" s="3"/>
    </row>
    <row r="198" spans="2:2" x14ac:dyDescent="0.25">
      <c r="B198" s="3"/>
    </row>
    <row r="199" spans="2:2" x14ac:dyDescent="0.25">
      <c r="B199" s="3"/>
    </row>
    <row r="200" spans="2:2" x14ac:dyDescent="0.25">
      <c r="B200" s="3"/>
    </row>
    <row r="201" spans="2:2" x14ac:dyDescent="0.25">
      <c r="B201" s="3"/>
    </row>
    <row r="202" spans="2:2" x14ac:dyDescent="0.25">
      <c r="B202" s="3"/>
    </row>
    <row r="203" spans="2:2" x14ac:dyDescent="0.25">
      <c r="B203" s="3"/>
    </row>
    <row r="204" spans="2:2" x14ac:dyDescent="0.25">
      <c r="B204" s="3"/>
    </row>
    <row r="205" spans="2:2" x14ac:dyDescent="0.25">
      <c r="B205" s="3"/>
    </row>
    <row r="206" spans="2:2" x14ac:dyDescent="0.25">
      <c r="B206" s="3"/>
    </row>
    <row r="207" spans="2:2" x14ac:dyDescent="0.25">
      <c r="B207" s="3"/>
    </row>
    <row r="208" spans="2:2" x14ac:dyDescent="0.25">
      <c r="B208" s="3"/>
    </row>
    <row r="209" spans="2:2" x14ac:dyDescent="0.25">
      <c r="B209" s="3"/>
    </row>
    <row r="210" spans="2:2" x14ac:dyDescent="0.25">
      <c r="B210" s="3"/>
    </row>
    <row r="211" spans="2:2" x14ac:dyDescent="0.25">
      <c r="B211" s="3"/>
    </row>
    <row r="212" spans="2:2" x14ac:dyDescent="0.25">
      <c r="B212" s="3"/>
    </row>
    <row r="213" spans="2:2" x14ac:dyDescent="0.25">
      <c r="B213" s="3"/>
    </row>
    <row r="214" spans="2:2" x14ac:dyDescent="0.25">
      <c r="B214" s="3"/>
    </row>
    <row r="215" spans="2:2" x14ac:dyDescent="0.25">
      <c r="B215" s="3"/>
    </row>
    <row r="216" spans="2:2" x14ac:dyDescent="0.25">
      <c r="B216" s="3"/>
    </row>
    <row r="217" spans="2:2" x14ac:dyDescent="0.25">
      <c r="B217" s="3"/>
    </row>
    <row r="218" spans="2:2" x14ac:dyDescent="0.25">
      <c r="B218" s="3"/>
    </row>
    <row r="219" spans="2:2" x14ac:dyDescent="0.25">
      <c r="B219" s="3"/>
    </row>
    <row r="220" spans="2:2" x14ac:dyDescent="0.25">
      <c r="B220" s="3"/>
    </row>
    <row r="221" spans="2:2" x14ac:dyDescent="0.25">
      <c r="B221" s="3"/>
    </row>
    <row r="222" spans="2:2" x14ac:dyDescent="0.25">
      <c r="B222" s="3"/>
    </row>
    <row r="223" spans="2:2" x14ac:dyDescent="0.25">
      <c r="B223" s="3"/>
    </row>
    <row r="224" spans="2:2" x14ac:dyDescent="0.25">
      <c r="B224" s="3"/>
    </row>
    <row r="225" spans="2:2" x14ac:dyDescent="0.25">
      <c r="B225" s="3"/>
    </row>
    <row r="226" spans="2:2" x14ac:dyDescent="0.25">
      <c r="B226" s="3"/>
    </row>
    <row r="227" spans="2:2" x14ac:dyDescent="0.25">
      <c r="B227" s="3"/>
    </row>
    <row r="228" spans="2:2" x14ac:dyDescent="0.25">
      <c r="B228" s="3"/>
    </row>
    <row r="229" spans="2:2" x14ac:dyDescent="0.25">
      <c r="B229" s="3"/>
    </row>
    <row r="230" spans="2:2" x14ac:dyDescent="0.25">
      <c r="B230" s="3"/>
    </row>
    <row r="231" spans="2:2" x14ac:dyDescent="0.25">
      <c r="B231" s="3"/>
    </row>
    <row r="232" spans="2:2" x14ac:dyDescent="0.25">
      <c r="B232" s="3"/>
    </row>
    <row r="233" spans="2:2" x14ac:dyDescent="0.25">
      <c r="B233" s="3"/>
    </row>
    <row r="234" spans="2:2" x14ac:dyDescent="0.25">
      <c r="B234" s="3"/>
    </row>
    <row r="235" spans="2:2" x14ac:dyDescent="0.25">
      <c r="B235" s="3"/>
    </row>
    <row r="236" spans="2:2" x14ac:dyDescent="0.25">
      <c r="B236" s="3"/>
    </row>
    <row r="237" spans="2:2" x14ac:dyDescent="0.25">
      <c r="B237" s="3"/>
    </row>
    <row r="238" spans="2:2" x14ac:dyDescent="0.25">
      <c r="B238" s="3"/>
    </row>
    <row r="239" spans="2:2" x14ac:dyDescent="0.25">
      <c r="B239" s="3"/>
    </row>
    <row r="240" spans="2:2" x14ac:dyDescent="0.25">
      <c r="B240" s="3"/>
    </row>
    <row r="241" spans="2:2" x14ac:dyDescent="0.25">
      <c r="B241" s="3"/>
    </row>
    <row r="242" spans="2:2" x14ac:dyDescent="0.25">
      <c r="B242" s="3"/>
    </row>
    <row r="243" spans="2:2" x14ac:dyDescent="0.25">
      <c r="B243" s="3"/>
    </row>
    <row r="244" spans="2:2" x14ac:dyDescent="0.25">
      <c r="B244" s="3"/>
    </row>
    <row r="245" spans="2:2" x14ac:dyDescent="0.25">
      <c r="B245" s="3"/>
    </row>
    <row r="246" spans="2:2" x14ac:dyDescent="0.25">
      <c r="B246" s="3"/>
    </row>
    <row r="247" spans="2:2" x14ac:dyDescent="0.25">
      <c r="B247" s="3"/>
    </row>
    <row r="248" spans="2:2" x14ac:dyDescent="0.25">
      <c r="B248" s="3"/>
    </row>
    <row r="249" spans="2:2" x14ac:dyDescent="0.25">
      <c r="B249" s="3"/>
    </row>
    <row r="250" spans="2:2" x14ac:dyDescent="0.25">
      <c r="B250" s="3"/>
    </row>
    <row r="251" spans="2:2" x14ac:dyDescent="0.25">
      <c r="B251" s="3"/>
    </row>
    <row r="252" spans="2:2" x14ac:dyDescent="0.25">
      <c r="B252" s="3"/>
    </row>
    <row r="253" spans="2:2" x14ac:dyDescent="0.25">
      <c r="B253" s="3"/>
    </row>
    <row r="254" spans="2:2" x14ac:dyDescent="0.25">
      <c r="B254" s="3"/>
    </row>
    <row r="255" spans="2:2" x14ac:dyDescent="0.25">
      <c r="B255" s="3"/>
    </row>
    <row r="256" spans="2:2" x14ac:dyDescent="0.25">
      <c r="B256" s="3"/>
    </row>
    <row r="257" spans="2:2" x14ac:dyDescent="0.25">
      <c r="B257" s="3"/>
    </row>
    <row r="258" spans="2:2" x14ac:dyDescent="0.25">
      <c r="B258" s="3"/>
    </row>
    <row r="259" spans="2:2" x14ac:dyDescent="0.25">
      <c r="B259" s="3"/>
    </row>
    <row r="260" spans="2:2" x14ac:dyDescent="0.25">
      <c r="B260" s="3"/>
    </row>
    <row r="261" spans="2:2" x14ac:dyDescent="0.25">
      <c r="B261" s="3"/>
    </row>
    <row r="262" spans="2:2" x14ac:dyDescent="0.25">
      <c r="B262" s="3"/>
    </row>
    <row r="263" spans="2:2" x14ac:dyDescent="0.25">
      <c r="B263" s="3"/>
    </row>
    <row r="264" spans="2:2" x14ac:dyDescent="0.25">
      <c r="B264" s="3"/>
    </row>
    <row r="265" spans="2:2" x14ac:dyDescent="0.25">
      <c r="B265" s="3"/>
    </row>
    <row r="266" spans="2:2" x14ac:dyDescent="0.25">
      <c r="B266" s="3"/>
    </row>
    <row r="267" spans="2:2" x14ac:dyDescent="0.25">
      <c r="B267" s="3"/>
    </row>
    <row r="268" spans="2:2" x14ac:dyDescent="0.25">
      <c r="B268" s="3"/>
    </row>
    <row r="269" spans="2:2" x14ac:dyDescent="0.25">
      <c r="B269" s="3"/>
    </row>
    <row r="270" spans="2:2" x14ac:dyDescent="0.25">
      <c r="B270" s="3"/>
    </row>
    <row r="271" spans="2:2" x14ac:dyDescent="0.25">
      <c r="B271" s="3"/>
    </row>
    <row r="272" spans="2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3"/>
    </row>
    <row r="277" spans="2:2" x14ac:dyDescent="0.25">
      <c r="B277" s="3"/>
    </row>
    <row r="278" spans="2:2" x14ac:dyDescent="0.25">
      <c r="B278" s="3"/>
    </row>
    <row r="279" spans="2:2" x14ac:dyDescent="0.25">
      <c r="B279" s="3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3"/>
    </row>
    <row r="291" spans="2:2" x14ac:dyDescent="0.25">
      <c r="B291" s="3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3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3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3"/>
    </row>
    <row r="313" spans="2:2" x14ac:dyDescent="0.25">
      <c r="B313" s="3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3"/>
    </row>
    <row r="323" spans="2:2" x14ac:dyDescent="0.25">
      <c r="B323" s="3"/>
    </row>
    <row r="324" spans="2:2" x14ac:dyDescent="0.25">
      <c r="B324" s="3"/>
    </row>
    <row r="325" spans="2:2" x14ac:dyDescent="0.25">
      <c r="B325" s="3"/>
    </row>
    <row r="326" spans="2:2" x14ac:dyDescent="0.25">
      <c r="B326" s="3"/>
    </row>
    <row r="327" spans="2:2" x14ac:dyDescent="0.25">
      <c r="B327" s="3"/>
    </row>
    <row r="328" spans="2:2" x14ac:dyDescent="0.25">
      <c r="B328" s="3"/>
    </row>
    <row r="329" spans="2:2" x14ac:dyDescent="0.25">
      <c r="B329" s="3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3"/>
    </row>
    <row r="350" spans="2:2" x14ac:dyDescent="0.25">
      <c r="B350" s="3"/>
    </row>
    <row r="351" spans="2:2" x14ac:dyDescent="0.25">
      <c r="B351" s="3"/>
    </row>
    <row r="352" spans="2:2" x14ac:dyDescent="0.25">
      <c r="B352" s="3"/>
    </row>
    <row r="353" spans="2:2" x14ac:dyDescent="0.25">
      <c r="B353" s="3"/>
    </row>
    <row r="354" spans="2:2" x14ac:dyDescent="0.25">
      <c r="B354" s="3"/>
    </row>
    <row r="355" spans="2:2" x14ac:dyDescent="0.25">
      <c r="B355" s="3"/>
    </row>
    <row r="356" spans="2:2" x14ac:dyDescent="0.25">
      <c r="B356" s="3"/>
    </row>
    <row r="357" spans="2:2" x14ac:dyDescent="0.25">
      <c r="B357" s="3"/>
    </row>
    <row r="358" spans="2:2" x14ac:dyDescent="0.25">
      <c r="B358" s="3"/>
    </row>
    <row r="359" spans="2:2" x14ac:dyDescent="0.25">
      <c r="B359" s="3"/>
    </row>
    <row r="360" spans="2:2" x14ac:dyDescent="0.25">
      <c r="B360" s="3"/>
    </row>
    <row r="361" spans="2:2" x14ac:dyDescent="0.25">
      <c r="B361" s="3"/>
    </row>
    <row r="362" spans="2:2" x14ac:dyDescent="0.25">
      <c r="B362" s="3"/>
    </row>
    <row r="363" spans="2:2" x14ac:dyDescent="0.25">
      <c r="B363" s="3"/>
    </row>
    <row r="364" spans="2:2" x14ac:dyDescent="0.25">
      <c r="B364" s="3"/>
    </row>
    <row r="365" spans="2:2" x14ac:dyDescent="0.25">
      <c r="B365" s="3"/>
    </row>
    <row r="366" spans="2:2" x14ac:dyDescent="0.25">
      <c r="B366" s="3"/>
    </row>
    <row r="367" spans="2:2" x14ac:dyDescent="0.25">
      <c r="B367" s="3"/>
    </row>
    <row r="368" spans="2:2" x14ac:dyDescent="0.25">
      <c r="B368" s="3"/>
    </row>
    <row r="369" spans="2:2" x14ac:dyDescent="0.25">
      <c r="B369" s="3"/>
    </row>
    <row r="370" spans="2:2" x14ac:dyDescent="0.25">
      <c r="B370" s="3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3"/>
    </row>
    <row r="445" spans="2:2" x14ac:dyDescent="0.25">
      <c r="B445" s="3"/>
    </row>
    <row r="446" spans="2:2" x14ac:dyDescent="0.25">
      <c r="B446" s="3"/>
    </row>
    <row r="447" spans="2:2" x14ac:dyDescent="0.25">
      <c r="B447" s="3"/>
    </row>
    <row r="448" spans="2:2" x14ac:dyDescent="0.25">
      <c r="B448" s="3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Sheet1</vt:lpstr>
      <vt:lpstr>Tabelle1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Felix Hillemeier</cp:lastModifiedBy>
  <dcterms:created xsi:type="dcterms:W3CDTF">2013-05-08T08:23:31Z</dcterms:created>
  <dcterms:modified xsi:type="dcterms:W3CDTF">2021-05-13T10:29:37Z</dcterms:modified>
</cp:coreProperties>
</file>